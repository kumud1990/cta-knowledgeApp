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<sst xmlns="http://schemas.openxmlformats.org/spreadsheetml/2006/main" count="53" uniqueCount="44">
  <si>
    <t>Actor</t>
  </si>
  <si>
    <t>United Bank (UB) has been in business for over 75 years selling financial products and services internationally.</t>
  </si>
  <si>
    <t>b2b , b2c -&gt; products-  bank accounts, loans, insurance, credit cards and debit cards</t>
  </si>
  <si>
    <t>lic</t>
  </si>
  <si>
    <t xml:space="preserve"> over 2,000 branches </t>
  </si>
  <si>
    <t>Justification</t>
  </si>
  <si>
    <t>Login</t>
  </si>
  <si>
    <t>5 geographical locations worldwide.</t>
  </si>
  <si>
    <t>customer (E)</t>
  </si>
  <si>
    <t>CC</t>
  </si>
  <si>
    <t xml:space="preserve">UB expects to grow its footprint in Asia over the next 5 years and with this expansion expects the number of bank branches and customers to double. 
</t>
  </si>
  <si>
    <t xml:space="preserve">Acc, opp, </t>
  </si>
  <si>
    <t>Challenge -UB Branch Managers and the Executive team do not have good visibility into sales activity or customer interactions.</t>
  </si>
  <si>
    <t>branch statffEmployee</t>
  </si>
  <si>
    <t>sales</t>
  </si>
  <si>
    <t>UB Contact Centre Managers are looking to improve productivity and customer satisfaction</t>
  </si>
  <si>
    <t>branch managers</t>
  </si>
  <si>
    <t>UB Executives</t>
  </si>
  <si>
    <t>Contact Centre Agents</t>
  </si>
  <si>
    <t>Service</t>
  </si>
  <si>
    <t>Omni channel,SF voice</t>
  </si>
  <si>
    <t>Contact Centre Manager</t>
  </si>
  <si>
    <t>Omni channel,</t>
  </si>
  <si>
    <t>3rd Party Agents</t>
  </si>
  <si>
    <t>partner</t>
  </si>
  <si>
    <t>Access on lead and opportunity</t>
  </si>
  <si>
    <t>RH</t>
  </si>
  <si>
    <t>CEO</t>
  </si>
  <si>
    <t>UB Execuitiv *5</t>
  </si>
  <si>
    <t>1st year</t>
  </si>
  <si>
    <t>Contact Centre Agent</t>
  </si>
  <si>
    <t>branch statffEmployee , 3rd Party Agents</t>
  </si>
  <si>
    <t>2nd year</t>
  </si>
  <si>
    <t>3rd year</t>
  </si>
  <si>
    <t>Account</t>
  </si>
  <si>
    <t>30M</t>
  </si>
  <si>
    <t>contact</t>
  </si>
  <si>
    <t>v</t>
  </si>
  <si>
    <t>Lead</t>
  </si>
  <si>
    <t>Opportunity</t>
  </si>
  <si>
    <t>QA Response</t>
  </si>
  <si>
    <t>Cases</t>
  </si>
  <si>
    <t>Asset</t>
  </si>
  <si>
    <t>!0% growth of acc.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</si>
</sst>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25"/>
  </cols>
  <sheetData>
    <row r="1">
      <c r="A1" s="1" t="s">
        <v>1</v>
      </c>
    </row>
    <row r="2">
      <c r="A2" s="1" t="s">
        <v>2</v>
      </c>
    </row>
    <row r="3">
      <c r="A3" s="1" t="s">
        <v>4</v>
      </c>
    </row>
    <row r="4">
      <c r="A4" s="2" t="s">
        <v>7</v>
      </c>
    </row>
    <row r="5">
      <c r="A5" s="1" t="s">
        <v>10</v>
      </c>
    </row>
    <row r="6">
      <c r="A6" s="1" t="s">
        <v>12</v>
      </c>
    </row>
    <row r="7">
      <c r="A7" s="1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88"/>
    <col customWidth="1" min="2" max="2" width="29.25"/>
    <col customWidth="1" min="3" max="3" width="55.88"/>
  </cols>
  <sheetData>
    <row r="1">
      <c r="A1" s="1" t="s">
        <v>0</v>
      </c>
      <c r="B1" s="1" t="s">
        <v>3</v>
      </c>
      <c r="C1" s="1" t="s">
        <v>5</v>
      </c>
      <c r="D1" s="1" t="s">
        <v>6</v>
      </c>
    </row>
    <row r="2">
      <c r="A2" s="1" t="s">
        <v>8</v>
      </c>
      <c r="B2" s="1" t="s">
        <v>9</v>
      </c>
      <c r="C2" s="1" t="s">
        <v>11</v>
      </c>
    </row>
    <row r="3">
      <c r="A3" s="1" t="s">
        <v>13</v>
      </c>
      <c r="B3" s="1" t="s">
        <v>14</v>
      </c>
      <c r="C3" s="1" t="s">
        <v>11</v>
      </c>
    </row>
    <row r="4">
      <c r="A4" s="1" t="s">
        <v>16</v>
      </c>
      <c r="B4" s="1" t="s">
        <v>14</v>
      </c>
      <c r="C4" s="1" t="s">
        <v>11</v>
      </c>
    </row>
    <row r="5">
      <c r="A5" s="1" t="s">
        <v>17</v>
      </c>
      <c r="B5" s="1" t="s">
        <v>14</v>
      </c>
      <c r="C5" s="1" t="s">
        <v>11</v>
      </c>
    </row>
    <row r="6">
      <c r="A6" s="1" t="s">
        <v>18</v>
      </c>
      <c r="B6" s="1" t="s">
        <v>19</v>
      </c>
      <c r="C6" s="1" t="s">
        <v>20</v>
      </c>
    </row>
    <row r="7">
      <c r="A7" s="1" t="s">
        <v>21</v>
      </c>
      <c r="B7" s="1" t="s">
        <v>19</v>
      </c>
      <c r="C7" s="1" t="s">
        <v>22</v>
      </c>
    </row>
    <row r="8">
      <c r="A8" s="1" t="s">
        <v>23</v>
      </c>
      <c r="B8" s="1" t="s">
        <v>24</v>
      </c>
      <c r="C8" s="1" t="s">
        <v>25</v>
      </c>
    </row>
    <row r="13">
      <c r="C13" s="1" t="s">
        <v>26</v>
      </c>
    </row>
    <row r="14">
      <c r="C14" s="1" t="s">
        <v>27</v>
      </c>
    </row>
    <row r="15">
      <c r="C15" s="1" t="s">
        <v>28</v>
      </c>
    </row>
    <row r="16">
      <c r="B16" s="1" t="s">
        <v>21</v>
      </c>
      <c r="C16" s="1" t="s">
        <v>16</v>
      </c>
    </row>
    <row r="17">
      <c r="B17" s="1" t="s">
        <v>30</v>
      </c>
      <c r="C17" s="1" t="s">
        <v>31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</cols>
  <sheetData>
    <row r="1">
      <c r="B1" s="1" t="s">
        <v>29</v>
      </c>
      <c r="C1" s="1" t="s">
        <v>32</v>
      </c>
      <c r="D1" s="1" t="s">
        <v>33</v>
      </c>
    </row>
    <row r="2">
      <c r="A2" s="1" t="s">
        <v>34</v>
      </c>
      <c r="B2" s="1" t="s">
        <v>35</v>
      </c>
      <c r="C2" s="1">
        <v>37.0</v>
      </c>
      <c r="D2" s="1">
        <v>44.0</v>
      </c>
    </row>
    <row r="3">
      <c r="A3" s="1" t="s">
        <v>36</v>
      </c>
      <c r="B3" s="1" t="s">
        <v>35</v>
      </c>
      <c r="C3" s="1">
        <v>37.0</v>
      </c>
      <c r="D3" s="1" t="s">
        <v>37</v>
      </c>
    </row>
    <row r="4">
      <c r="A4" s="1" t="s">
        <v>38</v>
      </c>
      <c r="B4" s="3">
        <f>10000*365</f>
        <v>3650000</v>
      </c>
      <c r="C4" s="3">
        <f>B4+B4</f>
        <v>7300000</v>
      </c>
      <c r="D4" s="3">
        <f t="shared" ref="D4:D6" si="1">B4+C4</f>
        <v>10950000</v>
      </c>
    </row>
    <row r="5">
      <c r="A5" s="1" t="s">
        <v>39</v>
      </c>
      <c r="B5" s="3">
        <f>0.2*B6</f>
        <v>730000</v>
      </c>
      <c r="C5" s="3">
        <f>0.2*B6+B5</f>
        <v>1460000</v>
      </c>
      <c r="D5" s="3">
        <f t="shared" si="1"/>
        <v>2190000</v>
      </c>
    </row>
    <row r="6">
      <c r="A6" s="1" t="s">
        <v>40</v>
      </c>
      <c r="B6" s="3">
        <f>10000*365</f>
        <v>3650000</v>
      </c>
      <c r="C6" s="3">
        <f>B6+B6</f>
        <v>7300000</v>
      </c>
      <c r="D6" s="3">
        <f t="shared" si="1"/>
        <v>10950000</v>
      </c>
    </row>
    <row r="7">
      <c r="A7" s="1" t="s">
        <v>41</v>
      </c>
      <c r="B7" s="3">
        <f>365*5000+5000000</f>
        <v>6825000</v>
      </c>
      <c r="C7" s="3">
        <f>365*5000+B7</f>
        <v>8650000</v>
      </c>
      <c r="D7" s="3">
        <f>C7+B7</f>
        <v>15475000</v>
      </c>
    </row>
    <row r="8">
      <c r="A8" s="1" t="s">
        <v>42</v>
      </c>
      <c r="B8" s="1">
        <v>1.5E7</v>
      </c>
      <c r="C8" s="3">
        <f>0.1*B8+B8</f>
        <v>16500000</v>
      </c>
      <c r="D8" s="3">
        <f>C8+0.1*C8</f>
        <v>18150000</v>
      </c>
    </row>
    <row r="9">
      <c r="C9" s="1" t="s">
        <v>43</v>
      </c>
    </row>
  </sheetData>
  <drawing r:id="rId1"/>
</worksheet>
</file>